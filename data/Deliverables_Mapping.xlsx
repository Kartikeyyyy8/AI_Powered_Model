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ables Mapping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oJkMuDSisyti6ZE73DQEcapskzvKJNUuHQ+j9KSA5BM="/>
    </ext>
  </extLst>
</workbook>
</file>

<file path=xl/sharedStrings.xml><?xml version="1.0" encoding="utf-8"?>
<sst xmlns="http://schemas.openxmlformats.org/spreadsheetml/2006/main" count="300" uniqueCount="177">
  <si>
    <t>Work Division Summary</t>
  </si>
  <si>
    <t>AI_Powered_Model — Deliverables Mapping</t>
  </si>
  <si>
    <t>Auto-calculated from the Deliverables Mapping sheet.</t>
  </si>
  <si>
    <t>Mapped to the actual repo folder structure (client / server / ml_engine)</t>
  </si>
  <si>
    <t>Tasks by Owner</t>
  </si>
  <si>
    <t>Legend: Yellow cells (Owned By, Status) are for the team to fill in. One example row is shown in row 6.</t>
  </si>
  <si>
    <t>Owner</t>
  </si>
  <si>
    <t>#</t>
  </si>
  <si>
    <t>Module</t>
  </si>
  <si>
    <t>Task Count</t>
  </si>
  <si>
    <t>Sub-Folder</t>
  </si>
  <si>
    <t>Shyamal Rai</t>
  </si>
  <si>
    <t>File / Task</t>
  </si>
  <si>
    <t>Task Description</t>
  </si>
  <si>
    <t>Owned By</t>
  </si>
  <si>
    <t>Status</t>
  </si>
  <si>
    <t>Deadline</t>
  </si>
  <si>
    <t>Frontend (client)</t>
  </si>
  <si>
    <t>public</t>
  </si>
  <si>
    <t>index.html</t>
  </si>
  <si>
    <t>Base HTML shell for the React app</t>
  </si>
  <si>
    <t>Kartikeya Gupta</t>
  </si>
  <si>
    <t>charts</t>
  </si>
  <si>
    <t>CategoryChart.jsx</t>
  </si>
  <si>
    <t>Chart showing issues broken down by category</t>
  </si>
  <si>
    <t xml:space="preserve">Lakshay Garg </t>
  </si>
  <si>
    <t>Tasks by Module</t>
  </si>
  <si>
    <t>MissingChart.jsx</t>
  </si>
  <si>
    <t>Chart visualizing missing-value distribution</t>
  </si>
  <si>
    <t>OutlierChart.jsx</t>
  </si>
  <si>
    <t>Backend (server)</t>
  </si>
  <si>
    <t>Chart visualizing outlier/anomaly distribution</t>
  </si>
  <si>
    <t>ML Engine (ml_engine)</t>
  </si>
  <si>
    <t>QualityChart.jsx</t>
  </si>
  <si>
    <t>Quality score gauge/trend chart</t>
  </si>
  <si>
    <t>Project Setup</t>
  </si>
  <si>
    <t>Tasks by Status</t>
  </si>
  <si>
    <t>components</t>
  </si>
  <si>
    <t>ChartCard.jsx</t>
  </si>
  <si>
    <t>Reusable card wrapper for chart components</t>
  </si>
  <si>
    <t>Not Started</t>
  </si>
  <si>
    <t>DataTable.jsx</t>
  </si>
  <si>
    <t>In Progress</t>
  </si>
  <si>
    <t>Filterable/sortable table for flagged issues</t>
  </si>
  <si>
    <t>Blocked</t>
  </si>
  <si>
    <t>Loader.jsx</t>
  </si>
  <si>
    <t>Loading spinner shown during pipeline runs</t>
  </si>
  <si>
    <t>Done</t>
  </si>
  <si>
    <t>MetricCard.jsx</t>
  </si>
  <si>
    <t>Headline metric card (score, rows, issues, critical count)</t>
  </si>
  <si>
    <t>Total Tasks</t>
  </si>
  <si>
    <t>Navbar.jsx</t>
  </si>
  <si>
    <t>Top navigation bar</t>
  </si>
  <si>
    <t>SeverityBadge.jsx</t>
  </si>
  <si>
    <t>Color-coded severity badge (high/medium/low)</t>
  </si>
  <si>
    <t>Sidebar.jsx</t>
  </si>
  <si>
    <t>Side navigation / detectors list panel</t>
  </si>
  <si>
    <t>UploadBox.jsx</t>
  </si>
  <si>
    <t>Drag-and-drop CSV/Excel upload component</t>
  </si>
  <si>
    <t>pages</t>
  </si>
  <si>
    <t>Home.jsx</t>
  </si>
  <si>
    <t>Landing page</t>
  </si>
  <si>
    <t>Upload.jsx</t>
  </si>
  <si>
    <t>Dataset upload screen</t>
  </si>
  <si>
    <t>Dashboard.jsx</t>
  </si>
  <si>
    <t>Overview dashboard (score cards, gauge)</t>
  </si>
  <si>
    <t>Validation.jsx</t>
  </si>
  <si>
    <t>Validation results screen with filters</t>
  </si>
  <si>
    <t>Anomaly.jsx</t>
  </si>
  <si>
    <t>Anomaly &amp; outlier visualization screen</t>
  </si>
  <si>
    <t>Quality.jsx</t>
  </si>
  <si>
    <t>Quality scoring breakdown screen</t>
  </si>
  <si>
    <t>AIExplanation.jsx</t>
  </si>
  <si>
    <t>AI-generated summary panel</t>
  </si>
  <si>
    <t>Reports.jsx</t>
  </si>
  <si>
    <t>Reports &amp; export download screen</t>
  </si>
  <si>
    <t>services</t>
  </si>
  <si>
    <t>api.js</t>
  </si>
  <si>
    <t>Base Axios instance / API client config</t>
  </si>
  <si>
    <t>uploadApi.js</t>
  </si>
  <si>
    <t>API calls for dataset upload</t>
  </si>
  <si>
    <t>reportApi.js</t>
  </si>
  <si>
    <t>API calls for report generation/downloads</t>
  </si>
  <si>
    <t>app setup</t>
  </si>
  <si>
    <t>App.jsx</t>
  </si>
  <si>
    <t>Root component + routing</t>
  </si>
  <si>
    <t>main.jsx</t>
  </si>
  <si>
    <t>React app entry point</t>
  </si>
  <si>
    <t>index.css</t>
  </si>
  <si>
    <t>Global styles</t>
  </si>
  <si>
    <t>package.json / vite.config.js</t>
  </si>
  <si>
    <t>Project dependencies and Vite build config</t>
  </si>
  <si>
    <t>config</t>
  </si>
  <si>
    <t>db.js</t>
  </si>
  <si>
    <t>MongoDB connection setup</t>
  </si>
  <si>
    <t>multer.js</t>
  </si>
  <si>
    <t>File upload middleware config</t>
  </si>
  <si>
    <t>controllers</t>
  </si>
  <si>
    <t>uploadController.js</t>
  </si>
  <si>
    <t>Handle dataset upload requests</t>
  </si>
  <si>
    <t>validationController.js</t>
  </si>
  <si>
    <t>Trigger validation pipeline, return results</t>
  </si>
  <si>
    <t>reportController.js</t>
  </si>
  <si>
    <t>Generate and serve report downloads</t>
  </si>
  <si>
    <t>dashboardController.js</t>
  </si>
  <si>
    <t>Aggregate data for dashboard endpoints</t>
  </si>
  <si>
    <t>routes</t>
  </si>
  <si>
    <t>uploadRoutes.js</t>
  </si>
  <si>
    <t>POST /api/upload route</t>
  </si>
  <si>
    <t>validationRoutes.js</t>
  </si>
  <si>
    <t>POST /api/validate route</t>
  </si>
  <si>
    <t>reportRoutes.js</t>
  </si>
  <si>
    <t>POST /api/report, GET /api/report/:id routes</t>
  </si>
  <si>
    <t>dashboardRoutes.js</t>
  </si>
  <si>
    <t>GET /api/dashboard route</t>
  </si>
  <si>
    <t>middleware</t>
  </si>
  <si>
    <t>errorHandler.js</t>
  </si>
  <si>
    <t>Centralized error handling middleware</t>
  </si>
  <si>
    <t>models</t>
  </si>
  <si>
    <t>User.js</t>
  </si>
  <si>
    <t>User schema</t>
  </si>
  <si>
    <t>Dataset.js</t>
  </si>
  <si>
    <t>Uploaded dataset schema</t>
  </si>
  <si>
    <t>Report.js</t>
  </si>
  <si>
    <t>Generated report schema</t>
  </si>
  <si>
    <t>Anomaly.js</t>
  </si>
  <si>
    <t>Anomaly/flagged-issue log schema</t>
  </si>
  <si>
    <t>pythonService.js</t>
  </si>
  <si>
    <t>Bridge to call the Python ml_engine pipeline</t>
  </si>
  <si>
    <t>reportService.js</t>
  </si>
  <si>
    <t>Report file generation/storage logic</t>
  </si>
  <si>
    <t>app.js / server.js</t>
  </si>
  <si>
    <t>Express app setup and server entry point</t>
  </si>
  <si>
    <t>package.json</t>
  </si>
  <si>
    <t>Backend dependencies</t>
  </si>
  <si>
    <t>notebooks</t>
  </si>
  <si>
    <t>validation.ipynb</t>
  </si>
  <si>
    <t>Null/duplicate/datatype/date/quantity/price/payment/product/status/regex checks — all in one</t>
  </si>
  <si>
    <t xml:space="preserve">Shyamal Rai </t>
  </si>
  <si>
    <t>14-08-2026</t>
  </si>
  <si>
    <t>cleaning.ipynb</t>
  </si>
  <si>
    <t>Missing-value handling, date repair, payment/product standardization, price parsing</t>
  </si>
  <si>
    <t>rules.ipynb</t>
  </si>
  <si>
    <t>Business rule engine — negative qty/price, invalid dates, duplicate IDs, unrecognized categories</t>
  </si>
  <si>
    <t>statistics.ipynb</t>
  </si>
  <si>
    <t>Z-score and IQR statistical outlier detection</t>
  </si>
  <si>
    <t>anomaly.ipynb</t>
  </si>
  <si>
    <t>Isolation Forest, Local Outlier Factor, DBSCAN — all in one</t>
  </si>
  <si>
    <t>scoring.ipynb</t>
  </si>
  <si>
    <t>Dataset score, record score, completeness score</t>
  </si>
  <si>
    <t>ai_explanation.ipynb</t>
  </si>
  <si>
    <t>LLM-generated plain-English summaries and recommendations</t>
  </si>
  <si>
    <t>reports.ipynb</t>
  </si>
  <si>
    <t>PDF, Excel, and PPT report generation</t>
  </si>
  <si>
    <t>run_pipeline.ipynb</t>
  </si>
  <si>
    <t>Orchestrates all notebooks/stages end to end</t>
  </si>
  <si>
    <t>data &amp; models</t>
  </si>
  <si>
    <t>data/dataset_ecommerce_transactions_data.csv</t>
  </si>
  <si>
    <t>Sample dataset for development/testing</t>
  </si>
  <si>
    <t>models/</t>
  </si>
  <si>
    <t>Saved ML model files (Isolation Forest, DBSCAN, etc.)</t>
  </si>
  <si>
    <t>requirements.txt</t>
  </si>
  <si>
    <t>Python dependencies for ml_engine</t>
  </si>
  <si>
    <t>docs</t>
  </si>
  <si>
    <t>new_project_structure.pdf / project_structure.pdf</t>
  </si>
  <si>
    <t>Reference architecture docs</t>
  </si>
  <si>
    <t>root</t>
  </si>
  <si>
    <t>reports/</t>
  </si>
  <si>
    <t>Output folder for generated reports</t>
  </si>
  <si>
    <t>uploads/</t>
  </si>
  <si>
    <t>Runtime storage for uploaded datasets</t>
  </si>
  <si>
    <t>README.md</t>
  </si>
  <si>
    <t>Setup and run instructions</t>
  </si>
  <si>
    <t>docker-compose.yml</t>
  </si>
  <si>
    <t>Container orchestration for client + server + ml_engine</t>
  </si>
  <si>
    <t>.gitignore</t>
  </si>
  <si>
    <t>Excludes node_modules, .venv, uploads, checkpoints,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</si>
</sst>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8">
    <font>
      <sz val="11.0"/>
      <color theme="1"/>
      <name val="Calibri"/>
      <scheme val="minor"/>
    </font>
    <font>
      <b/>
      <sz val="16.0"/>
      <color theme="1"/>
      <name val="Arial"/>
    </font>
    <font>
      <i/>
      <sz val="10.0"/>
      <color rgb="FF555555"/>
      <name val="Arial"/>
    </font>
    <font>
      <b/>
      <sz val="10.0"/>
      <color theme="1"/>
      <name val="Arial"/>
    </font>
    <font>
      <i/>
      <sz val="9.0"/>
      <color rgb="FF808080"/>
      <name val="Arial"/>
    </font>
    <font>
      <b/>
      <sz val="11.0"/>
      <color rgb="FFFFFFFF"/>
      <name val="Arial"/>
    </font>
    <font>
      <sz val="10.0"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1" fillId="3" fontId="6" numFmtId="0" xfId="0" applyAlignment="1" applyBorder="1" applyFont="1">
      <alignment readingOrder="0" shrinkToFit="0" vertical="top" wrapText="1"/>
    </xf>
    <xf borderId="2" fillId="4" fontId="3" numFmtId="0" xfId="0" applyAlignment="1" applyBorder="1" applyFill="1" applyFont="1">
      <alignment horizontal="center" shrinkToFit="0" vertical="center" wrapText="1"/>
    </xf>
    <xf borderId="1" fillId="3" fontId="6" numFmtId="164" xfId="0" applyAlignment="1" applyBorder="1" applyFont="1" applyNumberFormat="1">
      <alignment shrinkToFit="0" vertical="top" wrapText="1"/>
    </xf>
    <xf borderId="3" fillId="0" fontId="7" numFmtId="0" xfId="0" applyBorder="1" applyFont="1"/>
    <xf borderId="4" fillId="0" fontId="7" numFmtId="0" xfId="0" applyBorder="1" applyFont="1"/>
    <xf borderId="1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14.0"/>
    <col customWidth="1" min="4" max="4" width="34.0"/>
    <col customWidth="1" min="5" max="5" width="44.0"/>
    <col customWidth="1" min="6" max="6" width="16.0"/>
    <col customWidth="1" min="7" max="7" width="14.0"/>
    <col customWidth="1" min="8" max="8" width="16.0"/>
    <col customWidth="1" min="9" max="26" width="8.71"/>
  </cols>
  <sheetData>
    <row r="1" ht="21.0" customHeight="1">
      <c r="A1" s="1" t="s">
        <v>1</v>
      </c>
    </row>
    <row r="2" ht="14.25" customHeight="1">
      <c r="A2" s="2" t="s">
        <v>3</v>
      </c>
    </row>
    <row r="3" ht="14.25" customHeight="1">
      <c r="A3" s="4" t="s">
        <v>5</v>
      </c>
    </row>
    <row r="4" ht="14.25" customHeight="1"/>
    <row r="5" ht="14.25" customHeight="1">
      <c r="A5" s="5" t="s">
        <v>7</v>
      </c>
      <c r="B5" s="5" t="s">
        <v>8</v>
      </c>
      <c r="C5" s="5" t="s">
        <v>10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</row>
    <row r="6" ht="14.25" customHeight="1">
      <c r="A6" s="7">
        <v>1.0</v>
      </c>
      <c r="B6" s="7" t="s">
        <v>17</v>
      </c>
      <c r="C6" s="7" t="s">
        <v>18</v>
      </c>
      <c r="D6" s="7" t="s">
        <v>19</v>
      </c>
      <c r="E6" s="7" t="s">
        <v>20</v>
      </c>
      <c r="F6" s="8"/>
      <c r="G6" s="8"/>
      <c r="H6" s="9"/>
    </row>
    <row r="7" ht="15.0" customHeight="1">
      <c r="A7" s="7">
        <v>2.0</v>
      </c>
      <c r="B7" s="10" t="s">
        <v>17</v>
      </c>
      <c r="C7" s="7" t="s">
        <v>22</v>
      </c>
      <c r="D7" s="7" t="s">
        <v>23</v>
      </c>
      <c r="E7" s="7" t="s">
        <v>24</v>
      </c>
      <c r="F7" s="8"/>
      <c r="G7" s="8"/>
      <c r="H7" s="11"/>
    </row>
    <row r="8" ht="14.25" customHeight="1">
      <c r="A8" s="7">
        <v>3.0</v>
      </c>
      <c r="B8" s="12"/>
      <c r="C8" s="7" t="s">
        <v>22</v>
      </c>
      <c r="D8" s="7" t="s">
        <v>27</v>
      </c>
      <c r="E8" s="7" t="s">
        <v>28</v>
      </c>
      <c r="F8" s="8"/>
      <c r="G8" s="8"/>
      <c r="H8" s="11"/>
    </row>
    <row r="9" ht="14.25" customHeight="1">
      <c r="A9" s="7">
        <v>4.0</v>
      </c>
      <c r="B9" s="12"/>
      <c r="C9" s="7" t="s">
        <v>22</v>
      </c>
      <c r="D9" s="7" t="s">
        <v>29</v>
      </c>
      <c r="E9" s="7" t="s">
        <v>31</v>
      </c>
      <c r="F9" s="8"/>
      <c r="G9" s="8"/>
      <c r="H9" s="11"/>
    </row>
    <row r="10" ht="14.25" customHeight="1">
      <c r="A10" s="7">
        <v>5.0</v>
      </c>
      <c r="B10" s="13"/>
      <c r="C10" s="7" t="s">
        <v>22</v>
      </c>
      <c r="D10" s="7" t="s">
        <v>33</v>
      </c>
      <c r="E10" s="7" t="s">
        <v>34</v>
      </c>
      <c r="F10" s="8"/>
      <c r="G10" s="8"/>
      <c r="H10" s="11"/>
    </row>
    <row r="11" ht="15.0" customHeight="1">
      <c r="A11" s="7">
        <v>6.0</v>
      </c>
      <c r="B11" s="10" t="s">
        <v>17</v>
      </c>
      <c r="C11" s="7" t="s">
        <v>37</v>
      </c>
      <c r="D11" s="7" t="s">
        <v>38</v>
      </c>
      <c r="E11" s="7" t="s">
        <v>39</v>
      </c>
      <c r="F11" s="8"/>
      <c r="G11" s="8"/>
      <c r="H11" s="11"/>
    </row>
    <row r="12" ht="14.25" customHeight="1">
      <c r="A12" s="7">
        <v>7.0</v>
      </c>
      <c r="B12" s="12"/>
      <c r="C12" s="7" t="s">
        <v>37</v>
      </c>
      <c r="D12" s="7" t="s">
        <v>41</v>
      </c>
      <c r="E12" s="7" t="s">
        <v>43</v>
      </c>
      <c r="F12" s="8"/>
      <c r="G12" s="8"/>
      <c r="H12" s="11"/>
    </row>
    <row r="13" ht="14.25" customHeight="1">
      <c r="A13" s="7">
        <v>8.0</v>
      </c>
      <c r="B13" s="12"/>
      <c r="C13" s="7" t="s">
        <v>37</v>
      </c>
      <c r="D13" s="7" t="s">
        <v>45</v>
      </c>
      <c r="E13" s="7" t="s">
        <v>46</v>
      </c>
      <c r="F13" s="8"/>
      <c r="G13" s="8"/>
      <c r="H13" s="11"/>
    </row>
    <row r="14" ht="26.25" customHeight="1">
      <c r="A14" s="7">
        <v>9.0</v>
      </c>
      <c r="B14" s="12"/>
      <c r="C14" s="7" t="s">
        <v>37</v>
      </c>
      <c r="D14" s="7" t="s">
        <v>48</v>
      </c>
      <c r="E14" s="7" t="s">
        <v>49</v>
      </c>
      <c r="F14" s="8"/>
      <c r="G14" s="8"/>
      <c r="H14" s="11"/>
    </row>
    <row r="15" ht="14.25" customHeight="1">
      <c r="A15" s="7">
        <v>10.0</v>
      </c>
      <c r="B15" s="12"/>
      <c r="C15" s="7" t="s">
        <v>37</v>
      </c>
      <c r="D15" s="7" t="s">
        <v>51</v>
      </c>
      <c r="E15" s="7" t="s">
        <v>52</v>
      </c>
      <c r="F15" s="8"/>
      <c r="G15" s="8"/>
      <c r="H15" s="11"/>
    </row>
    <row r="16" ht="14.25" customHeight="1">
      <c r="A16" s="7">
        <v>11.0</v>
      </c>
      <c r="B16" s="12"/>
      <c r="C16" s="7" t="s">
        <v>37</v>
      </c>
      <c r="D16" s="7" t="s">
        <v>53</v>
      </c>
      <c r="E16" s="7" t="s">
        <v>54</v>
      </c>
      <c r="F16" s="8"/>
      <c r="G16" s="8"/>
      <c r="H16" s="11"/>
    </row>
    <row r="17" ht="14.25" customHeight="1">
      <c r="A17" s="7">
        <v>12.0</v>
      </c>
      <c r="B17" s="12"/>
      <c r="C17" s="7" t="s">
        <v>37</v>
      </c>
      <c r="D17" s="7" t="s">
        <v>55</v>
      </c>
      <c r="E17" s="7" t="s">
        <v>56</v>
      </c>
      <c r="F17" s="8"/>
      <c r="G17" s="8"/>
      <c r="H17" s="11"/>
    </row>
    <row r="18" ht="14.25" customHeight="1">
      <c r="A18" s="7">
        <v>13.0</v>
      </c>
      <c r="B18" s="13"/>
      <c r="C18" s="7" t="s">
        <v>37</v>
      </c>
      <c r="D18" s="7" t="s">
        <v>57</v>
      </c>
      <c r="E18" s="7" t="s">
        <v>58</v>
      </c>
      <c r="F18" s="8"/>
      <c r="G18" s="8"/>
      <c r="H18" s="11"/>
    </row>
    <row r="19" ht="15.0" customHeight="1">
      <c r="A19" s="7">
        <v>14.0</v>
      </c>
      <c r="B19" s="10" t="s">
        <v>17</v>
      </c>
      <c r="C19" s="7" t="s">
        <v>59</v>
      </c>
      <c r="D19" s="7" t="s">
        <v>60</v>
      </c>
      <c r="E19" s="7" t="s">
        <v>61</v>
      </c>
      <c r="F19" s="8"/>
      <c r="G19" s="8"/>
      <c r="H19" s="11"/>
    </row>
    <row r="20" ht="14.25" customHeight="1">
      <c r="A20" s="7">
        <v>15.0</v>
      </c>
      <c r="B20" s="12"/>
      <c r="C20" s="7" t="s">
        <v>59</v>
      </c>
      <c r="D20" s="7" t="s">
        <v>62</v>
      </c>
      <c r="E20" s="7" t="s">
        <v>63</v>
      </c>
      <c r="F20" s="8"/>
      <c r="G20" s="8"/>
      <c r="H20" s="11"/>
    </row>
    <row r="21" ht="14.25" customHeight="1">
      <c r="A21" s="7">
        <v>16.0</v>
      </c>
      <c r="B21" s="12"/>
      <c r="C21" s="7" t="s">
        <v>59</v>
      </c>
      <c r="D21" s="7" t="s">
        <v>64</v>
      </c>
      <c r="E21" s="7" t="s">
        <v>65</v>
      </c>
      <c r="F21" s="8"/>
      <c r="G21" s="8"/>
      <c r="H21" s="11"/>
    </row>
    <row r="22" ht="14.25" customHeight="1">
      <c r="A22" s="7">
        <v>17.0</v>
      </c>
      <c r="B22" s="12"/>
      <c r="C22" s="7" t="s">
        <v>59</v>
      </c>
      <c r="D22" s="7" t="s">
        <v>66</v>
      </c>
      <c r="E22" s="7" t="s">
        <v>67</v>
      </c>
      <c r="F22" s="8"/>
      <c r="G22" s="8"/>
      <c r="H22" s="11"/>
    </row>
    <row r="23" ht="14.25" customHeight="1">
      <c r="A23" s="7">
        <v>18.0</v>
      </c>
      <c r="B23" s="12"/>
      <c r="C23" s="7" t="s">
        <v>59</v>
      </c>
      <c r="D23" s="7" t="s">
        <v>68</v>
      </c>
      <c r="E23" s="7" t="s">
        <v>69</v>
      </c>
      <c r="F23" s="8"/>
      <c r="G23" s="8"/>
      <c r="H23" s="11"/>
    </row>
    <row r="24" ht="14.25" customHeight="1">
      <c r="A24" s="7">
        <v>19.0</v>
      </c>
      <c r="B24" s="12"/>
      <c r="C24" s="7" t="s">
        <v>59</v>
      </c>
      <c r="D24" s="7" t="s">
        <v>70</v>
      </c>
      <c r="E24" s="7" t="s">
        <v>71</v>
      </c>
      <c r="F24" s="8"/>
      <c r="G24" s="8"/>
      <c r="H24" s="11"/>
    </row>
    <row r="25" ht="14.25" customHeight="1">
      <c r="A25" s="7">
        <v>20.0</v>
      </c>
      <c r="B25" s="12"/>
      <c r="C25" s="7" t="s">
        <v>59</v>
      </c>
      <c r="D25" s="7" t="s">
        <v>72</v>
      </c>
      <c r="E25" s="7" t="s">
        <v>73</v>
      </c>
      <c r="F25" s="8"/>
      <c r="G25" s="8"/>
      <c r="H25" s="11"/>
    </row>
    <row r="26" ht="14.25" customHeight="1">
      <c r="A26" s="7">
        <v>21.0</v>
      </c>
      <c r="B26" s="13"/>
      <c r="C26" s="7" t="s">
        <v>59</v>
      </c>
      <c r="D26" s="7" t="s">
        <v>74</v>
      </c>
      <c r="E26" s="7" t="s">
        <v>75</v>
      </c>
      <c r="F26" s="8"/>
      <c r="G26" s="8"/>
      <c r="H26" s="11"/>
    </row>
    <row r="27" ht="15.0" customHeight="1">
      <c r="A27" s="7">
        <v>22.0</v>
      </c>
      <c r="B27" s="10" t="s">
        <v>17</v>
      </c>
      <c r="C27" s="7" t="s">
        <v>76</v>
      </c>
      <c r="D27" s="7" t="s">
        <v>77</v>
      </c>
      <c r="E27" s="7" t="s">
        <v>78</v>
      </c>
      <c r="F27" s="8"/>
      <c r="G27" s="8"/>
      <c r="H27" s="11"/>
    </row>
    <row r="28" ht="14.25" customHeight="1">
      <c r="A28" s="7">
        <v>23.0</v>
      </c>
      <c r="B28" s="12"/>
      <c r="C28" s="7" t="s">
        <v>76</v>
      </c>
      <c r="D28" s="7" t="s">
        <v>79</v>
      </c>
      <c r="E28" s="7" t="s">
        <v>80</v>
      </c>
      <c r="F28" s="8"/>
      <c r="G28" s="8"/>
      <c r="H28" s="11"/>
    </row>
    <row r="29" ht="14.25" customHeight="1">
      <c r="A29" s="7">
        <v>24.0</v>
      </c>
      <c r="B29" s="13"/>
      <c r="C29" s="7" t="s">
        <v>76</v>
      </c>
      <c r="D29" s="7" t="s">
        <v>81</v>
      </c>
      <c r="E29" s="7" t="s">
        <v>82</v>
      </c>
      <c r="F29" s="8"/>
      <c r="G29" s="8"/>
      <c r="H29" s="11"/>
    </row>
    <row r="30" ht="15.0" customHeight="1">
      <c r="A30" s="7">
        <v>25.0</v>
      </c>
      <c r="B30" s="10" t="s">
        <v>17</v>
      </c>
      <c r="C30" s="7" t="s">
        <v>83</v>
      </c>
      <c r="D30" s="7" t="s">
        <v>84</v>
      </c>
      <c r="E30" s="7" t="s">
        <v>85</v>
      </c>
      <c r="F30" s="8"/>
      <c r="G30" s="8"/>
      <c r="H30" s="11"/>
    </row>
    <row r="31" ht="14.25" customHeight="1">
      <c r="A31" s="7">
        <v>26.0</v>
      </c>
      <c r="B31" s="12"/>
      <c r="C31" s="7" t="s">
        <v>83</v>
      </c>
      <c r="D31" s="7" t="s">
        <v>86</v>
      </c>
      <c r="E31" s="7" t="s">
        <v>87</v>
      </c>
      <c r="F31" s="8"/>
      <c r="G31" s="8"/>
      <c r="H31" s="11"/>
    </row>
    <row r="32" ht="14.25" customHeight="1">
      <c r="A32" s="7">
        <v>27.0</v>
      </c>
      <c r="B32" s="12"/>
      <c r="C32" s="7" t="s">
        <v>83</v>
      </c>
      <c r="D32" s="7" t="s">
        <v>88</v>
      </c>
      <c r="E32" s="7" t="s">
        <v>89</v>
      </c>
      <c r="F32" s="8"/>
      <c r="G32" s="8"/>
      <c r="H32" s="11"/>
    </row>
    <row r="33" ht="14.25" customHeight="1">
      <c r="A33" s="7">
        <v>28.0</v>
      </c>
      <c r="B33" s="13"/>
      <c r="C33" s="7" t="s">
        <v>83</v>
      </c>
      <c r="D33" s="7" t="s">
        <v>90</v>
      </c>
      <c r="E33" s="7" t="s">
        <v>91</v>
      </c>
      <c r="F33" s="8"/>
      <c r="G33" s="8"/>
      <c r="H33" s="11"/>
    </row>
    <row r="34" ht="15.0" customHeight="1">
      <c r="A34" s="7">
        <v>29.0</v>
      </c>
      <c r="B34" s="10" t="s">
        <v>30</v>
      </c>
      <c r="C34" s="7" t="s">
        <v>92</v>
      </c>
      <c r="D34" s="7" t="s">
        <v>93</v>
      </c>
      <c r="E34" s="7" t="s">
        <v>94</v>
      </c>
      <c r="F34" s="8"/>
      <c r="G34" s="8"/>
      <c r="H34" s="11"/>
    </row>
    <row r="35" ht="14.25" customHeight="1">
      <c r="A35" s="7">
        <v>30.0</v>
      </c>
      <c r="B35" s="13"/>
      <c r="C35" s="7" t="s">
        <v>92</v>
      </c>
      <c r="D35" s="7" t="s">
        <v>95</v>
      </c>
      <c r="E35" s="7" t="s">
        <v>96</v>
      </c>
      <c r="F35" s="8"/>
      <c r="G35" s="8"/>
      <c r="H35" s="11"/>
    </row>
    <row r="36" ht="15.0" customHeight="1">
      <c r="A36" s="7">
        <v>31.0</v>
      </c>
      <c r="B36" s="10" t="s">
        <v>30</v>
      </c>
      <c r="C36" s="7" t="s">
        <v>97</v>
      </c>
      <c r="D36" s="7" t="s">
        <v>98</v>
      </c>
      <c r="E36" s="7" t="s">
        <v>99</v>
      </c>
      <c r="F36" s="8"/>
      <c r="G36" s="8"/>
      <c r="H36" s="11"/>
    </row>
    <row r="37" ht="14.25" customHeight="1">
      <c r="A37" s="7">
        <v>32.0</v>
      </c>
      <c r="B37" s="12"/>
      <c r="C37" s="7" t="s">
        <v>97</v>
      </c>
      <c r="D37" s="7" t="s">
        <v>100</v>
      </c>
      <c r="E37" s="7" t="s">
        <v>101</v>
      </c>
      <c r="F37" s="8"/>
      <c r="G37" s="8"/>
      <c r="H37" s="11"/>
    </row>
    <row r="38" ht="14.25" customHeight="1">
      <c r="A38" s="7">
        <v>33.0</v>
      </c>
      <c r="B38" s="12"/>
      <c r="C38" s="7" t="s">
        <v>97</v>
      </c>
      <c r="D38" s="7" t="s">
        <v>102</v>
      </c>
      <c r="E38" s="7" t="s">
        <v>103</v>
      </c>
      <c r="F38" s="8"/>
      <c r="G38" s="8"/>
      <c r="H38" s="11"/>
    </row>
    <row r="39" ht="14.25" customHeight="1">
      <c r="A39" s="7">
        <v>34.0</v>
      </c>
      <c r="B39" s="13"/>
      <c r="C39" s="7" t="s">
        <v>97</v>
      </c>
      <c r="D39" s="7" t="s">
        <v>104</v>
      </c>
      <c r="E39" s="7" t="s">
        <v>105</v>
      </c>
      <c r="F39" s="8"/>
      <c r="G39" s="8"/>
      <c r="H39" s="11"/>
    </row>
    <row r="40" ht="15.0" customHeight="1">
      <c r="A40" s="7">
        <v>35.0</v>
      </c>
      <c r="B40" s="10" t="s">
        <v>30</v>
      </c>
      <c r="C40" s="7" t="s">
        <v>106</v>
      </c>
      <c r="D40" s="7" t="s">
        <v>107</v>
      </c>
      <c r="E40" s="7" t="s">
        <v>108</v>
      </c>
      <c r="F40" s="8"/>
      <c r="G40" s="8"/>
      <c r="H40" s="11"/>
    </row>
    <row r="41" ht="14.25" customHeight="1">
      <c r="A41" s="7">
        <v>36.0</v>
      </c>
      <c r="B41" s="12"/>
      <c r="C41" s="7" t="s">
        <v>106</v>
      </c>
      <c r="D41" s="7" t="s">
        <v>109</v>
      </c>
      <c r="E41" s="7" t="s">
        <v>110</v>
      </c>
      <c r="F41" s="8"/>
      <c r="G41" s="8"/>
      <c r="H41" s="11"/>
    </row>
    <row r="42" ht="14.25" customHeight="1">
      <c r="A42" s="7">
        <v>37.0</v>
      </c>
      <c r="B42" s="12"/>
      <c r="C42" s="7" t="s">
        <v>106</v>
      </c>
      <c r="D42" s="7" t="s">
        <v>111</v>
      </c>
      <c r="E42" s="7" t="s">
        <v>112</v>
      </c>
      <c r="F42" s="8"/>
      <c r="G42" s="8"/>
      <c r="H42" s="11"/>
    </row>
    <row r="43" ht="14.25" customHeight="1">
      <c r="A43" s="7">
        <v>38.0</v>
      </c>
      <c r="B43" s="13"/>
      <c r="C43" s="7" t="s">
        <v>106</v>
      </c>
      <c r="D43" s="7" t="s">
        <v>113</v>
      </c>
      <c r="E43" s="7" t="s">
        <v>114</v>
      </c>
      <c r="F43" s="8"/>
      <c r="G43" s="8"/>
      <c r="H43" s="11"/>
    </row>
    <row r="44" ht="14.25" customHeight="1">
      <c r="A44" s="7">
        <v>39.0</v>
      </c>
      <c r="B44" s="7" t="s">
        <v>30</v>
      </c>
      <c r="C44" s="7" t="s">
        <v>115</v>
      </c>
      <c r="D44" s="7" t="s">
        <v>116</v>
      </c>
      <c r="E44" s="7" t="s">
        <v>117</v>
      </c>
      <c r="F44" s="8"/>
      <c r="G44" s="8"/>
      <c r="H44" s="11"/>
    </row>
    <row r="45" ht="15.0" customHeight="1">
      <c r="A45" s="7">
        <v>40.0</v>
      </c>
      <c r="B45" s="10" t="s">
        <v>30</v>
      </c>
      <c r="C45" s="7" t="s">
        <v>118</v>
      </c>
      <c r="D45" s="7" t="s">
        <v>119</v>
      </c>
      <c r="E45" s="7" t="s">
        <v>120</v>
      </c>
      <c r="F45" s="8"/>
      <c r="G45" s="8"/>
      <c r="H45" s="11"/>
    </row>
    <row r="46" ht="14.25" customHeight="1">
      <c r="A46" s="7">
        <v>41.0</v>
      </c>
      <c r="B46" s="12"/>
      <c r="C46" s="7" t="s">
        <v>118</v>
      </c>
      <c r="D46" s="7" t="s">
        <v>121</v>
      </c>
      <c r="E46" s="7" t="s">
        <v>122</v>
      </c>
      <c r="F46" s="8"/>
      <c r="G46" s="8"/>
      <c r="H46" s="11"/>
    </row>
    <row r="47" ht="14.25" customHeight="1">
      <c r="A47" s="7">
        <v>42.0</v>
      </c>
      <c r="B47" s="12"/>
      <c r="C47" s="7" t="s">
        <v>118</v>
      </c>
      <c r="D47" s="7" t="s">
        <v>123</v>
      </c>
      <c r="E47" s="7" t="s">
        <v>124</v>
      </c>
      <c r="F47" s="8"/>
      <c r="G47" s="8"/>
      <c r="H47" s="11"/>
    </row>
    <row r="48" ht="14.25" customHeight="1">
      <c r="A48" s="7">
        <v>43.0</v>
      </c>
      <c r="B48" s="13"/>
      <c r="C48" s="7" t="s">
        <v>118</v>
      </c>
      <c r="D48" s="7" t="s">
        <v>125</v>
      </c>
      <c r="E48" s="7" t="s">
        <v>126</v>
      </c>
      <c r="F48" s="8"/>
      <c r="G48" s="8"/>
      <c r="H48" s="11"/>
    </row>
    <row r="49" ht="15.0" customHeight="1">
      <c r="A49" s="7">
        <v>44.0</v>
      </c>
      <c r="B49" s="10" t="s">
        <v>30</v>
      </c>
      <c r="C49" s="7" t="s">
        <v>76</v>
      </c>
      <c r="D49" s="7" t="s">
        <v>127</v>
      </c>
      <c r="E49" s="7" t="s">
        <v>128</v>
      </c>
      <c r="F49" s="8"/>
      <c r="G49" s="8"/>
      <c r="H49" s="11"/>
    </row>
    <row r="50" ht="14.25" customHeight="1">
      <c r="A50" s="7">
        <v>45.0</v>
      </c>
      <c r="B50" s="13"/>
      <c r="C50" s="7" t="s">
        <v>76</v>
      </c>
      <c r="D50" s="7" t="s">
        <v>129</v>
      </c>
      <c r="E50" s="7" t="s">
        <v>130</v>
      </c>
      <c r="F50" s="8"/>
      <c r="G50" s="8"/>
      <c r="H50" s="11"/>
    </row>
    <row r="51" ht="15.0" customHeight="1">
      <c r="A51" s="7">
        <v>46.0</v>
      </c>
      <c r="B51" s="10" t="s">
        <v>30</v>
      </c>
      <c r="C51" s="7" t="s">
        <v>83</v>
      </c>
      <c r="D51" s="7" t="s">
        <v>131</v>
      </c>
      <c r="E51" s="7" t="s">
        <v>132</v>
      </c>
      <c r="F51" s="8"/>
      <c r="G51" s="8"/>
      <c r="H51" s="11"/>
    </row>
    <row r="52" ht="14.25" customHeight="1">
      <c r="A52" s="7">
        <v>47.0</v>
      </c>
      <c r="B52" s="13"/>
      <c r="C52" s="7" t="s">
        <v>83</v>
      </c>
      <c r="D52" s="7" t="s">
        <v>133</v>
      </c>
      <c r="E52" s="7" t="s">
        <v>134</v>
      </c>
      <c r="F52" s="8"/>
      <c r="G52" s="8"/>
      <c r="H52" s="11"/>
    </row>
    <row r="53" ht="23.25" customHeight="1">
      <c r="A53" s="7">
        <v>48.0</v>
      </c>
      <c r="B53" s="10" t="s">
        <v>32</v>
      </c>
      <c r="C53" s="7" t="s">
        <v>135</v>
      </c>
      <c r="D53" s="7" t="s">
        <v>136</v>
      </c>
      <c r="E53" s="7" t="s">
        <v>137</v>
      </c>
      <c r="F53" s="9" t="s">
        <v>138</v>
      </c>
      <c r="G53" s="9" t="s">
        <v>47</v>
      </c>
      <c r="H53" s="9" t="s">
        <v>139</v>
      </c>
    </row>
    <row r="54" ht="26.25" customHeight="1">
      <c r="A54" s="7">
        <v>49.0</v>
      </c>
      <c r="B54" s="12"/>
      <c r="C54" s="7" t="s">
        <v>135</v>
      </c>
      <c r="D54" s="7" t="s">
        <v>140</v>
      </c>
      <c r="E54" s="7" t="s">
        <v>141</v>
      </c>
      <c r="F54" s="9" t="s">
        <v>138</v>
      </c>
      <c r="G54" s="9" t="s">
        <v>47</v>
      </c>
      <c r="H54" s="9" t="s">
        <v>139</v>
      </c>
    </row>
    <row r="55" ht="26.25" customHeight="1">
      <c r="A55" s="7">
        <v>50.0</v>
      </c>
      <c r="B55" s="12"/>
      <c r="C55" s="7" t="s">
        <v>135</v>
      </c>
      <c r="D55" s="7" t="s">
        <v>142</v>
      </c>
      <c r="E55" s="7" t="s">
        <v>143</v>
      </c>
      <c r="F55" s="9" t="s">
        <v>138</v>
      </c>
      <c r="G55" s="9" t="s">
        <v>47</v>
      </c>
      <c r="H55" s="9" t="s">
        <v>139</v>
      </c>
    </row>
    <row r="56" ht="14.25" customHeight="1">
      <c r="A56" s="7">
        <v>51.0</v>
      </c>
      <c r="B56" s="12"/>
      <c r="C56" s="7" t="s">
        <v>135</v>
      </c>
      <c r="D56" s="7" t="s">
        <v>144</v>
      </c>
      <c r="E56" s="7" t="s">
        <v>145</v>
      </c>
      <c r="F56" s="9" t="s">
        <v>138</v>
      </c>
      <c r="G56" s="9" t="s">
        <v>47</v>
      </c>
      <c r="H56" s="9" t="s">
        <v>139</v>
      </c>
    </row>
    <row r="57" ht="26.25" customHeight="1">
      <c r="A57" s="7">
        <v>52.0</v>
      </c>
      <c r="B57" s="12"/>
      <c r="C57" s="7" t="s">
        <v>135</v>
      </c>
      <c r="D57" s="7" t="s">
        <v>146</v>
      </c>
      <c r="E57" s="7" t="s">
        <v>147</v>
      </c>
      <c r="F57" s="9" t="s">
        <v>138</v>
      </c>
      <c r="G57" s="9" t="s">
        <v>47</v>
      </c>
      <c r="H57" s="9" t="s">
        <v>139</v>
      </c>
    </row>
    <row r="58" ht="14.25" customHeight="1">
      <c r="A58" s="7">
        <v>53.0</v>
      </c>
      <c r="B58" s="12"/>
      <c r="C58" s="7" t="s">
        <v>135</v>
      </c>
      <c r="D58" s="7" t="s">
        <v>148</v>
      </c>
      <c r="E58" s="7" t="s">
        <v>149</v>
      </c>
      <c r="F58" s="9" t="s">
        <v>138</v>
      </c>
      <c r="G58" s="9" t="s">
        <v>47</v>
      </c>
      <c r="H58" s="9" t="s">
        <v>139</v>
      </c>
    </row>
    <row r="59" ht="26.25" customHeight="1">
      <c r="A59" s="7">
        <v>54.0</v>
      </c>
      <c r="B59" s="12"/>
      <c r="C59" s="7" t="s">
        <v>135</v>
      </c>
      <c r="D59" s="7" t="s">
        <v>150</v>
      </c>
      <c r="E59" s="7" t="s">
        <v>151</v>
      </c>
      <c r="F59" s="9" t="s">
        <v>138</v>
      </c>
      <c r="G59" s="9" t="s">
        <v>47</v>
      </c>
      <c r="H59" s="9" t="s">
        <v>139</v>
      </c>
    </row>
    <row r="60" ht="14.25" customHeight="1">
      <c r="A60" s="7">
        <v>55.0</v>
      </c>
      <c r="B60" s="12"/>
      <c r="C60" s="7" t="s">
        <v>135</v>
      </c>
      <c r="D60" s="7" t="s">
        <v>152</v>
      </c>
      <c r="E60" s="7" t="s">
        <v>153</v>
      </c>
      <c r="F60" s="9" t="s">
        <v>138</v>
      </c>
      <c r="G60" s="9" t="s">
        <v>47</v>
      </c>
      <c r="H60" s="9" t="s">
        <v>139</v>
      </c>
    </row>
    <row r="61" ht="14.25" customHeight="1">
      <c r="A61" s="7">
        <v>56.0</v>
      </c>
      <c r="B61" s="13"/>
      <c r="C61" s="7" t="s">
        <v>135</v>
      </c>
      <c r="D61" s="7" t="s">
        <v>154</v>
      </c>
      <c r="E61" s="7" t="s">
        <v>155</v>
      </c>
      <c r="F61" s="9" t="s">
        <v>138</v>
      </c>
      <c r="G61" s="9" t="s">
        <v>47</v>
      </c>
      <c r="H61" s="9" t="s">
        <v>139</v>
      </c>
    </row>
    <row r="62" ht="34.5" customHeight="1">
      <c r="A62" s="7">
        <v>57.0</v>
      </c>
      <c r="B62" s="10" t="s">
        <v>32</v>
      </c>
      <c r="C62" s="7" t="s">
        <v>156</v>
      </c>
      <c r="D62" s="7" t="s">
        <v>157</v>
      </c>
      <c r="E62" s="7" t="s">
        <v>158</v>
      </c>
      <c r="F62" s="9" t="s">
        <v>138</v>
      </c>
      <c r="G62" s="9" t="s">
        <v>47</v>
      </c>
      <c r="H62" s="9" t="s">
        <v>139</v>
      </c>
    </row>
    <row r="63" ht="26.25" customHeight="1">
      <c r="A63" s="7">
        <v>58.0</v>
      </c>
      <c r="B63" s="12"/>
      <c r="C63" s="7" t="s">
        <v>156</v>
      </c>
      <c r="D63" s="7" t="s">
        <v>159</v>
      </c>
      <c r="E63" s="7" t="s">
        <v>160</v>
      </c>
      <c r="F63" s="9" t="s">
        <v>138</v>
      </c>
      <c r="G63" s="9" t="s">
        <v>47</v>
      </c>
      <c r="H63" s="9" t="s">
        <v>139</v>
      </c>
    </row>
    <row r="64" ht="14.25" customHeight="1">
      <c r="A64" s="7">
        <v>59.0</v>
      </c>
      <c r="B64" s="13"/>
      <c r="C64" s="7" t="s">
        <v>156</v>
      </c>
      <c r="D64" s="7" t="s">
        <v>161</v>
      </c>
      <c r="E64" s="7" t="s">
        <v>162</v>
      </c>
      <c r="F64" s="9" t="s">
        <v>138</v>
      </c>
      <c r="G64" s="9" t="s">
        <v>47</v>
      </c>
      <c r="H64" s="9" t="s">
        <v>139</v>
      </c>
    </row>
    <row r="65" ht="26.25" customHeight="1">
      <c r="A65" s="7">
        <v>60.0</v>
      </c>
      <c r="B65" s="7" t="s">
        <v>35</v>
      </c>
      <c r="C65" s="7" t="s">
        <v>163</v>
      </c>
      <c r="D65" s="7" t="s">
        <v>164</v>
      </c>
      <c r="E65" s="7" t="s">
        <v>165</v>
      </c>
      <c r="F65" s="9" t="s">
        <v>138</v>
      </c>
      <c r="G65" s="9" t="s">
        <v>47</v>
      </c>
      <c r="H65" s="9" t="s">
        <v>139</v>
      </c>
    </row>
    <row r="66" ht="15.0" customHeight="1">
      <c r="A66" s="7">
        <v>61.0</v>
      </c>
      <c r="B66" s="10" t="s">
        <v>35</v>
      </c>
      <c r="C66" s="7" t="s">
        <v>166</v>
      </c>
      <c r="D66" s="7" t="s">
        <v>167</v>
      </c>
      <c r="E66" s="7" t="s">
        <v>168</v>
      </c>
      <c r="F66" s="9" t="s">
        <v>138</v>
      </c>
      <c r="G66" s="9" t="s">
        <v>47</v>
      </c>
      <c r="H66" s="9" t="s">
        <v>139</v>
      </c>
    </row>
    <row r="67" ht="14.25" customHeight="1">
      <c r="A67" s="7">
        <v>62.0</v>
      </c>
      <c r="B67" s="12"/>
      <c r="C67" s="7" t="s">
        <v>166</v>
      </c>
      <c r="D67" s="7" t="s">
        <v>169</v>
      </c>
      <c r="E67" s="7" t="s">
        <v>170</v>
      </c>
      <c r="F67" s="9" t="s">
        <v>138</v>
      </c>
      <c r="G67" s="9" t="s">
        <v>47</v>
      </c>
      <c r="H67" s="9" t="s">
        <v>139</v>
      </c>
    </row>
    <row r="68" ht="14.25" customHeight="1">
      <c r="A68" s="7">
        <v>63.0</v>
      </c>
      <c r="B68" s="12"/>
      <c r="C68" s="7" t="s">
        <v>166</v>
      </c>
      <c r="D68" s="7" t="s">
        <v>171</v>
      </c>
      <c r="E68" s="7" t="s">
        <v>172</v>
      </c>
      <c r="F68" s="9" t="s">
        <v>138</v>
      </c>
      <c r="G68" s="9" t="s">
        <v>47</v>
      </c>
      <c r="H68" s="9" t="s">
        <v>139</v>
      </c>
    </row>
    <row r="69" ht="26.25" customHeight="1">
      <c r="A69" s="7">
        <v>64.0</v>
      </c>
      <c r="B69" s="12"/>
      <c r="C69" s="7" t="s">
        <v>166</v>
      </c>
      <c r="D69" s="7" t="s">
        <v>173</v>
      </c>
      <c r="E69" s="7" t="s">
        <v>174</v>
      </c>
      <c r="F69" s="9" t="s">
        <v>138</v>
      </c>
      <c r="G69" s="9" t="s">
        <v>47</v>
      </c>
      <c r="H69" s="9" t="s">
        <v>139</v>
      </c>
    </row>
    <row r="70" ht="26.25" customHeight="1">
      <c r="A70" s="7">
        <v>65.0</v>
      </c>
      <c r="B70" s="13"/>
      <c r="C70" s="7" t="s">
        <v>166</v>
      </c>
      <c r="D70" s="7" t="s">
        <v>175</v>
      </c>
      <c r="E70" s="7" t="s">
        <v>176</v>
      </c>
      <c r="F70" s="9" t="s">
        <v>138</v>
      </c>
      <c r="G70" s="9" t="s">
        <v>47</v>
      </c>
      <c r="H70" s="9" t="s">
        <v>139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40:B43"/>
    <mergeCell ref="B45:B48"/>
    <mergeCell ref="B49:B50"/>
    <mergeCell ref="B51:B52"/>
    <mergeCell ref="B53:B61"/>
    <mergeCell ref="B62:B64"/>
    <mergeCell ref="B66:B70"/>
    <mergeCell ref="B7:B10"/>
    <mergeCell ref="B11:B18"/>
    <mergeCell ref="B19:B26"/>
    <mergeCell ref="B27:B29"/>
    <mergeCell ref="B30:B33"/>
    <mergeCell ref="B34:B35"/>
    <mergeCell ref="B36:B39"/>
  </mergeCells>
  <dataValidations>
    <dataValidation type="list" allowBlank="1" sqref="G6:G70">
      <formula1>"Not Started,In Progress,Blocked,Done"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4.0"/>
    <col customWidth="1" min="3" max="26" width="8.71"/>
  </cols>
  <sheetData>
    <row r="1" ht="21.0" customHeight="1">
      <c r="A1" s="1" t="s">
        <v>0</v>
      </c>
    </row>
    <row r="2" ht="14.25" customHeight="1">
      <c r="A2" s="2" t="s">
        <v>2</v>
      </c>
    </row>
    <row r="3" ht="14.25" customHeight="1"/>
    <row r="4" ht="14.25" customHeight="1">
      <c r="A4" s="3" t="s">
        <v>4</v>
      </c>
    </row>
    <row r="5" ht="14.25" customHeight="1">
      <c r="A5" s="5" t="s">
        <v>6</v>
      </c>
      <c r="B5" s="5" t="s">
        <v>9</v>
      </c>
    </row>
    <row r="6" ht="14.25" customHeight="1">
      <c r="A6" s="6" t="s">
        <v>11</v>
      </c>
      <c r="B6" s="7">
        <f>COUNTIF('Deliverables Mapping'!$F$6:$F$70,A6)</f>
        <v>0</v>
      </c>
    </row>
    <row r="7" ht="14.25" customHeight="1">
      <c r="A7" s="6" t="s">
        <v>21</v>
      </c>
      <c r="B7" s="7">
        <f>COUNTIF('Deliverables Mapping'!$F$6:$F$70,A7)</f>
        <v>0</v>
      </c>
    </row>
    <row r="8" ht="14.25" customHeight="1">
      <c r="A8" s="6" t="s">
        <v>25</v>
      </c>
      <c r="B8" s="7">
        <f>COUNTIF('Deliverables Mapping'!$F$6:$F$70,A8)</f>
        <v>0</v>
      </c>
    </row>
    <row r="9" ht="14.25" customHeight="1"/>
    <row r="10" ht="14.25" customHeight="1"/>
    <row r="11" ht="14.25" customHeight="1">
      <c r="A11" s="3" t="s">
        <v>26</v>
      </c>
    </row>
    <row r="12" ht="14.25" customHeight="1">
      <c r="A12" s="5" t="s">
        <v>8</v>
      </c>
      <c r="B12" s="5" t="s">
        <v>9</v>
      </c>
    </row>
    <row r="13" ht="14.25" customHeight="1">
      <c r="A13" s="7" t="s">
        <v>17</v>
      </c>
      <c r="B13" s="7">
        <f>COUNTIF('Deliverables Mapping'!$B$6:$B$70,A13)</f>
        <v>6</v>
      </c>
    </row>
    <row r="14" ht="14.25" customHeight="1">
      <c r="A14" s="7" t="s">
        <v>30</v>
      </c>
      <c r="B14" s="7">
        <f>COUNTIF('Deliverables Mapping'!$B$6:$B$70,A14)</f>
        <v>7</v>
      </c>
    </row>
    <row r="15" ht="14.25" customHeight="1">
      <c r="A15" s="7" t="s">
        <v>32</v>
      </c>
      <c r="B15" s="7">
        <f>COUNTIF('Deliverables Mapping'!$B$6:$B$70,A15)</f>
        <v>2</v>
      </c>
    </row>
    <row r="16" ht="14.25" customHeight="1">
      <c r="A16" s="7" t="s">
        <v>35</v>
      </c>
      <c r="B16" s="7">
        <f>COUNTIF('Deliverables Mapping'!$B$6:$B$70,A16)</f>
        <v>2</v>
      </c>
    </row>
    <row r="17" ht="14.25" customHeight="1"/>
    <row r="18" ht="14.25" customHeight="1"/>
    <row r="19" ht="14.25" customHeight="1">
      <c r="A19" s="3" t="s">
        <v>36</v>
      </c>
    </row>
    <row r="20" ht="14.25" customHeight="1">
      <c r="A20" s="5" t="s">
        <v>15</v>
      </c>
      <c r="B20" s="5" t="s">
        <v>9</v>
      </c>
    </row>
    <row r="21" ht="14.25" customHeight="1">
      <c r="A21" s="7" t="s">
        <v>40</v>
      </c>
      <c r="B21" s="7">
        <f>COUNTIF('Deliverables Mapping'!$G$6:$G$70,A21)</f>
        <v>0</v>
      </c>
    </row>
    <row r="22" ht="14.25" customHeight="1">
      <c r="A22" s="7" t="s">
        <v>42</v>
      </c>
      <c r="B22" s="7">
        <f>COUNTIF('Deliverables Mapping'!$G$6:$G$70,A22)</f>
        <v>0</v>
      </c>
    </row>
    <row r="23" ht="14.25" customHeight="1">
      <c r="A23" s="7" t="s">
        <v>44</v>
      </c>
      <c r="B23" s="7">
        <f>COUNTIF('Deliverables Mapping'!$G$6:$G$70,A23)</f>
        <v>0</v>
      </c>
    </row>
    <row r="24" ht="14.25" customHeight="1">
      <c r="A24" s="7" t="s">
        <v>47</v>
      </c>
      <c r="B24" s="7">
        <f>COUNTIF('Deliverables Mapping'!$G$6:$G$70,A24)</f>
        <v>18</v>
      </c>
    </row>
    <row r="25" ht="14.25" customHeight="1"/>
    <row r="26" ht="14.25" customHeight="1">
      <c r="A26" s="14" t="s">
        <v>50</v>
      </c>
      <c r="B26" s="14">
        <f>COUNTA('Deliverables Mapping'!$D$6:$D$70)</f>
        <v>65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2026-07-29T09:39:56Z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